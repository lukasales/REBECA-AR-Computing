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d314ad96d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a77ee42066d4483"/>
    <x:sheet xmlns:r="http://schemas.openxmlformats.org/officeDocument/2006/relationships" name="Classification" sheetId="2" r:id="R381d60d9e560446c"/>
    <x:sheet xmlns:r="http://schemas.openxmlformats.org/officeDocument/2006/relationships" name="Latency" sheetId="3" r:id="R987d1e91f6e54311"/>
    <x:sheet xmlns:r="http://schemas.openxmlformats.org/officeDocument/2006/relationships" name="Calibration" sheetId="4" r:id="Rbfb1d4ed10194b30"/>
    <x:sheet xmlns:r="http://schemas.openxmlformats.org/officeDocument/2006/relationships" name="Robustness" sheetId="5" r:id="R284b5c8d00b4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"/>
    <x:numFmt numFmtId="201" formatCode="0.00"/>
    <x:numFmt numFmtId="202" formatCode="0.00x"/>
    <x:numFmt numFmtId="203" formatCode="#,##0"/>
    <x:numFmt numFmtId="204" formatCode="0.000"/>
    <x:numFmt numFmtId="205" formatCode="0.000x"/>
    <x:numFmt numFmtId="206" formatCode="0%"/>
    <x:numFmt numFmtId="207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48f9c6f0c4448" /><Relationship Type="http://schemas.openxmlformats.org/officeDocument/2006/relationships/theme" Target="/xl/theme/theme1.xml" Id="R3ecf7ee116984d3e" /><Relationship Type="http://schemas.openxmlformats.org/officeDocument/2006/relationships/sharedStrings" Target="/xl/sharedStrings.xml" Id="Rb7204726bb9449c6" /><Relationship Type="http://schemas.openxmlformats.org/officeDocument/2006/relationships/worksheet" Target="/xl/worksheets/sheet1.xml" Id="R8a77ee42066d4483" /><Relationship Type="http://schemas.openxmlformats.org/officeDocument/2006/relationships/worksheet" Target="/xl/worksheets/sheet2.xml" Id="R381d60d9e560446c" /><Relationship Type="http://schemas.openxmlformats.org/officeDocument/2006/relationships/worksheet" Target="/xl/worksheets/sheet3.xml" Id="R987d1e91f6e54311" /><Relationship Type="http://schemas.openxmlformats.org/officeDocument/2006/relationships/worksheet" Target="/xl/worksheets/sheet4.xml" Id="Rbfb1d4ed10194b30" /><Relationship Type="http://schemas.openxmlformats.org/officeDocument/2006/relationships/worksheet" Target="/xl/worksheets/sheet5.xml" Id="R284b5c8d00b440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fb71026f6248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FER2013 privateTest — Classification Metrics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EmoAR</c:v>
          </c:tx>
          <c:cat>
            <c:strRef>
              <c:f>'Overview'!$B$12:$B$14</c:f>
              <c:strCache>
                <c:ptCount val="0"/>
              </c:strCache>
            </c:strRef>
          </c:cat>
          <c:val>
            <c:numRef>
              <c:f>'Overview'!$C$12:$C$14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ViT</c:v>
          </c:tx>
          <c:cat>
            <c:strRef>
              <c:f>'Overview'!$B$12:$B$14</c:f>
              <c:strCache>
                <c:ptCount val="0"/>
              </c:strCache>
            </c:strRef>
          </c:cat>
          <c:val>
            <c:numRef>
              <c:f>'Overview'!$D$12:$D$14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fb71026f6248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4849d34c104e8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</x:cols>
  <x:sheetData>
    <x:row r="1" ht="28" customHeight="1">
      <x:c r="A1" s="48" t="str">
        <x:v>REBECA-AR — Computational Results (Preliminary Team Review)</x:v>
      </x:c>
      <x:c r="B1" s="48"/>
      <x:c r="C1" s="48"/>
      <x:c r="D1" s="48"/>
      <x:c r="E1" s="48"/>
      <x:c r="F1" s="4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3">
      <x:c r="A3" s="13" t="str">
        <x:v>Field</x:v>
      </x:c>
      <x:c r="B3" s="13" t="str">
        <x:v>Value</x:v>
      </x:c>
    </x:row>
    <x:row r="4">
      <x:c r="A4" s="18" t="str">
        <x:v>Course</x:v>
      </x:c>
      <x:c r="B4" s="18" t="str">
        <x:v>2026.2 - IN1123 - Realidade Virtual e Aumentada (CIn/UFPE)</x:v>
      </x:c>
    </x:row>
    <x:row r="5">
      <x:c r="A5" s="18" t="str">
        <x:v>Repository</x:v>
      </x:c>
      <x:c r="B5" s="18" t="str">
        <x:v>https://github.com/lukasales/REBECA-AR-Computing</x:v>
      </x:c>
    </x:row>
    <x:row r="6">
      <x:c r="A6" s="18" t="str">
        <x:v>Purpose</x:v>
      </x:c>
      <x:c r="B6" s="18" t="str">
        <x:v>Technical applicability analysis of existing facial-expression classifiers for a possible future AR extension of REBECA.</x:v>
      </x:c>
    </x:row>
    <x:row r="7">
      <x:c r="A7" s="18" t="str">
        <x:v>Current status</x:v>
      </x:c>
      <x:c r="B7" s="18" t="str">
        <x:v>Main computational experiments completed; awaiting team validation.</x:v>
      </x:c>
    </x:row>
    <x:row r="8">
      <x:c r="A8" s="18" t="str">
        <x:v>Scope</x:v>
      </x:c>
      <x:c r="B8" s="18" t="str">
        <x:v>No new emotion-recognition algorithm; no clinical validation; no child/ASD validation.</x:v>
      </x:c>
    </x:row>
    <x:row r="10">
      <x:c r="A10" s="22" t="str">
        <x:v>Summary of preliminary results</x:v>
      </x:c>
      <x:c r="B10" s="22"/>
      <x:c r="C10" s="22"/>
      <x:c r="D10" s="22"/>
      <x:c r="E10" s="22"/>
      <x:c r="F10" s="22"/>
    </x:row>
    <x:row r="11">
      <x:c r="A11" s="13" t="str">
        <x:v>Category</x:v>
      </x:c>
      <x:c r="B11" s="13" t="str">
        <x:v>Metric</x:v>
      </x:c>
      <x:c r="C11" s="13" t="str">
        <x:v>EmoAR</x:v>
      </x:c>
      <x:c r="D11" s="13" t="str">
        <x:v>ViT</x:v>
      </x:c>
      <x:c r="E11" s="13" t="str">
        <x:v>Δ / Ratio</x:v>
      </x:c>
      <x:c r="F11" s="13" t="str">
        <x:v>Evaluation set</x:v>
      </x:c>
    </x:row>
    <x:row r="12">
      <x:c r="A12" t="str">
        <x:v>Classification</x:v>
      </x:c>
      <x:c r="B12" t="str">
        <x:v>Accuracy</x:v>
      </x:c>
      <x:c r="C12" s="26" t="n">
        <x:v>0.665088</x:v>
      </x:c>
      <x:c r="D12" s="26" t="n">
        <x:v>0.71747</x:v>
      </x:c>
      <x:c r="E12" s="26" t="n">
        <x:f>D12-C12</x:f>
        <x:v>0.05238200000000004</x:v>
      </x:c>
      <x:c r="F12" s="18" t="str">
        <x:v>FER2013 privateTest (n=3,589)</x:v>
      </x:c>
    </x:row>
    <x:row r="13">
      <x:c r="A13" t="str">
        <x:v>Classification</x:v>
      </x:c>
      <x:c r="B13" t="str">
        <x:v>Balanced accuracy</x:v>
      </x:c>
      <x:c r="C13" s="26" t="n">
        <x:v>0.638232</x:v>
      </x:c>
      <x:c r="D13" s="26" t="n">
        <x:v>0.710095</x:v>
      </x:c>
      <x:c r="E13" s="26" t="n">
        <x:f>D13-C13</x:f>
        <x:v>0.07186300000000001</x:v>
      </x:c>
      <x:c r="F13" s="18" t="str">
        <x:v>FER2013 privateTest (n=3,589)</x:v>
      </x:c>
    </x:row>
    <x:row r="14">
      <x:c r="A14" t="str">
        <x:v>Classification</x:v>
      </x:c>
      <x:c r="B14" t="str">
        <x:v>Macro-F1</x:v>
      </x:c>
      <x:c r="C14" s="26" t="n">
        <x:v>0.624476</x:v>
      </x:c>
      <x:c r="D14" s="26" t="n">
        <x:v>0.710671</x:v>
      </x:c>
      <x:c r="E14" s="26" t="n">
        <x:f>D14-C14</x:f>
        <x:v>0.08619500000000002</x:v>
      </x:c>
      <x:c r="F14" s="18" t="str">
        <x:v>FER2013 privateTest (n=3,589)</x:v>
      </x:c>
    </x:row>
    <x:row r="15">
      <x:c r="A15" t="str">
        <x:v>Latency</x:v>
      </x:c>
      <x:c r="B15" t="str">
        <x:v>Mean CPU latency (ms)</x:v>
      </x:c>
      <x:c r="C15" s="28" t="n">
        <x:v>70.595</x:v>
      </x:c>
      <x:c r="D15" s="28" t="n">
        <x:v>151.343</x:v>
      </x:c>
      <x:c r="E15" s="30" t="n">
        <x:f>D15/C15</x:f>
        <x:v>2.143820383879878</x:v>
      </x:c>
      <x:c r="F15" s="18" t="str">
        <x:v>6 counterbalanced runs</x:v>
      </x:c>
    </x:row>
    <x:row r="16">
      <x:c r="A16" t="str">
        <x:v>Calibration</x:v>
      </x:c>
      <x:c r="B16" t="str">
        <x:v>ECE (15 bins)</x:v>
      </x:c>
      <x:c r="C16" s="26" t="n">
        <x:v>0.083886</x:v>
      </x:c>
      <x:c r="D16" s="26" t="n">
        <x:v>0.183572</x:v>
      </x:c>
      <x:c r="E16" s="26" t="n">
        <x:f>D16-C16</x:f>
        <x:v>0.09968600000000001</x:v>
      </x:c>
      <x:c r="F16" s="18" t="str">
        <x:v>FER2013 privateTest (n=3,589)</x:v>
      </x:c>
    </x:row>
    <x:row r="17">
      <x:c r="A17" t="str">
        <x:v>Calibration</x:v>
      </x:c>
      <x:c r="B17" t="str">
        <x:v>MCE</x:v>
      </x:c>
      <x:c r="C17" s="26" t="n">
        <x:v>0.147681</x:v>
      </x:c>
      <x:c r="D17" s="26" t="n">
        <x:v>0.375048</x:v>
      </x:c>
      <x:c r="E17" s="26" t="n">
        <x:f>D17-C17</x:f>
        <x:v>0.22736699999999999</x:v>
      </x:c>
      <x:c r="F17" s="18" t="str">
        <x:v>FER2013 privateTest (n=3,589)</x:v>
      </x:c>
    </x:row>
    <x:row r="18">
      <x:c r="A18" t="str">
        <x:v>Calibration</x:v>
      </x:c>
      <x:c r="B18" t="str">
        <x:v>Confidence gap</x:v>
      </x:c>
      <x:c r="C18" s="26" t="n">
        <x:v>0.083621</x:v>
      </x:c>
      <x:c r="D18" s="26" t="n">
        <x:v>0.183572</x:v>
      </x:c>
      <x:c r="E18" s="26" t="n">
        <x:f>D18-C18</x:f>
        <x:v>0.09995100000000001</x:v>
      </x:c>
      <x:c r="F18" s="18" t="str">
        <x:v>FER2013 privateTest (n=3,589)</x:v>
      </x:c>
    </x:row>
    <x:row r="19">
      <x:c r="A19" t="str">
        <x:v>Robustness</x:v>
      </x:c>
      <x:c r="B19" t="str">
        <x:v>Perturbed accuracy</x:v>
      </x:c>
      <x:c r="C19" s="26" t="n">
        <x:v>0.625714</x:v>
      </x:c>
      <x:c r="D19" s="26" t="n">
        <x:v>0.686786</x:v>
      </x:c>
      <x:c r="E19" s="26" t="n">
        <x:f>D19-C19</x:f>
        <x:v>0.061072000000000015</x:v>
      </x:c>
      <x:c r="F19" s="18" t="str">
        <x:v>Balanced subset (n=350; 8 perturbations)</x:v>
      </x:c>
    </x:row>
    <x:row r="20">
      <x:c r="A20" t="str">
        <x:v>Robustness</x:v>
      </x:c>
      <x:c r="B20" t="str">
        <x:v>Pairwise label stability</x:v>
      </x:c>
      <x:c r="C20" s="26" t="n">
        <x:v>0.908929</x:v>
      </x:c>
      <x:c r="D20" s="26" t="n">
        <x:v>0.876429</x:v>
      </x:c>
      <x:c r="E20" s="26" t="n">
        <x:f>D20-C20</x:f>
        <x:v>-0.03249999999999997</x:v>
      </x:c>
      <x:c r="F20" s="18" t="str">
        <x:v>2,800 comparisons/model</x:v>
      </x:c>
    </x:row>
    <x:row r="22">
      <x:c r="A22" s="34" t="str">
        <x:v>Interpretation: ViT achieved higher FER2013 classification performance, but with higher computational cost, higher raw-softmax miscalibration, and lower aggregate label stability under some controlled perturbations. These findings do not establish true-emotion recognition, clinical validity, child/ASD performance, or end-to-end AR performance.</x:v>
      </x:c>
      <x:c r="B22" s="34"/>
      <x:c r="C22" s="34"/>
      <x:c r="D22" s="34"/>
      <x:c r="E22" s="34"/>
      <x:c r="F22" s="34"/>
    </x:row>
    <x:row r="23">
      <x:c r="A23" s="34"/>
      <x:c r="B23" s="34"/>
      <x:c r="C23" s="34"/>
      <x:c r="D23" s="34"/>
      <x:c r="E23" s="34"/>
      <x:c r="F23" s="34"/>
    </x:row>
    <x:row r="24">
      <x:c r="A24" s="34"/>
      <x:c r="B24" s="34"/>
      <x:c r="C24" s="34"/>
      <x:c r="D24" s="34"/>
      <x:c r="E24" s="34"/>
      <x:c r="F24" s="34"/>
    </x:row>
  </x:sheetData>
  <x:mergeCells>
    <x:mergeCell ref="A1:F1"/>
    <x:mergeCell ref="A10:F10"/>
    <x:mergeCell ref="A22:F24"/>
  </x:mergeCells>
  <x:pageMargins left="0.7" right="0.7" top="0.75" bottom="0.75" header="0.3" footer="0.3"/>
  <x:drawing xmlns:r="http://schemas.openxmlformats.org/officeDocument/2006/relationships" r:id="R724849d34c104e86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</x:cols>
  <x:sheetData>
    <x:row r="1">
      <x:c r="A1" s="48" t="str">
        <x:v>Classification — FER2013 privateTest</x:v>
      </x:c>
      <x:c r="B1" s="48"/>
      <x:c r="C1" s="48"/>
      <x:c r="D1" s="48"/>
      <x:c r="E1" s="48"/>
      <x:c r="F1" s="48"/>
      <x:c r="G1" s="48"/>
      <x:c r="H1" s="4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3">
      <x:c r="A3" s="13" t="str">
        <x:v>Metric</x:v>
      </x:c>
      <x:c r="B3" s="13" t="str">
        <x:v>EmoAR</x:v>
      </x:c>
      <x:c r="C3" s="13" t="str">
        <x:v>ViT</x:v>
      </x:c>
      <x:c r="D3" s="13" t="str">
        <x:v>Δ ViT-EmoAR</x:v>
      </x:c>
      <x:c r="E3" s="13" t="str">
        <x:v>EmoAR correct</x:v>
      </x:c>
      <x:c r="F3" s="13" t="str">
        <x:v>ViT correct</x:v>
      </x:c>
      <x:c r="G3" s="13" t="str">
        <x:v>n</x:v>
      </x:c>
      <x:c r="H3" s="13" t="str">
        <x:v>Source / note</x:v>
      </x:c>
    </x:row>
    <x:row r="4">
      <x:c r="A4" t="str">
        <x:v>Accuracy</x:v>
      </x:c>
      <x:c r="B4" s="26" t="n">
        <x:v>0.665088</x:v>
      </x:c>
      <x:c r="C4" s="26" t="n">
        <x:v>0.71747</x:v>
      </x:c>
      <x:c r="D4" s="26" t="n">
        <x:f>C4-B4</x:f>
        <x:v>0.05238200000000004</x:v>
      </x:c>
      <x:c r="E4" t="n">
        <x:v>2387</x:v>
      </x:c>
      <x:c r="F4" t="n">
        <x:v>2575</x:v>
      </x:c>
      <x:c r="G4" t="n">
        <x:v>3589</x:v>
      </x:c>
      <x:c r="H4" t="str">
        <x:v>privateTest</x:v>
      </x:c>
    </x:row>
    <x:row r="5">
      <x:c r="A5" t="str">
        <x:v>Balanced accuracy</x:v>
      </x:c>
      <x:c r="B5" s="26" t="n">
        <x:v>0.638232</x:v>
      </x:c>
      <x:c r="C5" s="26" t="n">
        <x:v>0.710095</x:v>
      </x:c>
      <x:c r="D5" s="26" t="n">
        <x:f>C5-B5</x:f>
        <x:v>0.07186300000000001</x:v>
      </x:c>
      <x:c r="E5"/>
      <x:c r="F5"/>
      <x:c r="G5" t="n">
        <x:v>3589</x:v>
      </x:c>
      <x:c r="H5" t="str">
        <x:v>privateTest</x:v>
      </x:c>
    </x:row>
    <x:row r="6">
      <x:c r="A6" t="str">
        <x:v>Macro-F1</x:v>
      </x:c>
      <x:c r="B6" s="26" t="n">
        <x:v>0.624476</x:v>
      </x:c>
      <x:c r="C6" s="26" t="n">
        <x:v>0.710671</x:v>
      </x:c>
      <x:c r="D6" s="26" t="n">
        <x:f>C6-B6</x:f>
        <x:v>0.08619500000000002</x:v>
      </x:c>
      <x:c r="E6"/>
      <x:c r="F6"/>
      <x:c r="G6" t="n">
        <x:v>3589</x:v>
      </x:c>
      <x:c r="H6" t="str">
        <x:v>privateTest</x:v>
      </x:c>
    </x:row>
    <x:row r="7">
      <x:c r="A7" t="str">
        <x:v>Mean confidence</x:v>
      </x:c>
      <x:c r="B7" s="26" t="n">
        <x:v>0.748708</x:v>
      </x:c>
      <x:c r="C7" s="26" t="n">
        <x:v>0.901042</x:v>
      </x:c>
      <x:c r="D7" s="26" t="n">
        <x:f>C7-B7</x:f>
        <x:v>0.15233399999999997</x:v>
      </x:c>
      <x:c r="E7"/>
      <x:c r="F7"/>
      <x:c r="G7" t="n">
        <x:v>3589</x:v>
      </x:c>
      <x:c r="H7" t="str">
        <x:v>privateTest</x:v>
      </x:c>
    </x:row>
    <x:row r="9">
      <x:c r="A9" s="22" t="str">
        <x:v>Per-class metrics</x:v>
      </x:c>
      <x:c r="B9" s="22"/>
      <x:c r="C9" s="22"/>
      <x:c r="D9" s="22"/>
      <x:c r="E9" s="22"/>
      <x:c r="F9" s="22"/>
      <x:c r="G9" s="22"/>
      <x:c r="H9" s="22"/>
    </x:row>
    <x:row r="10">
      <x:c r="A10" s="13" t="str">
        <x:v>Class</x:v>
      </x:c>
      <x:c r="B10" s="13" t="str">
        <x:v>EmoAR Precision</x:v>
      </x:c>
      <x:c r="C10" s="13" t="str">
        <x:v>EmoAR Recall</x:v>
      </x:c>
      <x:c r="D10" s="13" t="str">
        <x:v>EmoAR F1</x:v>
      </x:c>
      <x:c r="E10" s="13" t="str">
        <x:v>ViT Precision</x:v>
      </x:c>
      <x:c r="F10" s="13" t="str">
        <x:v>ViT Recall</x:v>
      </x:c>
      <x:c r="G10" s="13" t="str">
        <x:v>ViT F1</x:v>
      </x:c>
      <x:c r="H10" s="13" t="str">
        <x:v>Support</x:v>
      </x:c>
    </x:row>
    <x:row r="11">
      <x:c r="A11" t="str">
        <x:v>Angry</x:v>
      </x:c>
      <x:c r="B11" s="26" t="n">
        <x:v>0.5593</x:v>
      </x:c>
      <x:c r="C11" s="26" t="n">
        <x:v>0.6151</x:v>
      </x:c>
      <x:c r="D11" s="26" t="n">
        <x:v>0.5858</x:v>
      </x:c>
      <x:c r="E11" s="26" t="n">
        <x:v>0.626</x:v>
      </x:c>
      <x:c r="F11" s="26" t="n">
        <x:v>0.6375</x:v>
      </x:c>
      <x:c r="G11" s="26" t="n">
        <x:v>0.6317</x:v>
      </x:c>
      <x:c r="H11" t="n">
        <x:v>491</x:v>
      </x:c>
    </x:row>
    <x:row r="12">
      <x:c r="A12" t="str">
        <x:v>Disgust</x:v>
      </x:c>
      <x:c r="B12" s="26" t="n">
        <x:v>0.4638</x:v>
      </x:c>
      <x:c r="C12" s="26" t="n">
        <x:v>0.5818</x:v>
      </x:c>
      <x:c r="D12" s="26" t="n">
        <x:v>0.5161</x:v>
      </x:c>
      <x:c r="E12" s="26" t="n">
        <x:v>0.75</x:v>
      </x:c>
      <x:c r="F12" s="26" t="n">
        <x:v>0.7636</x:v>
      </x:c>
      <x:c r="G12" s="26" t="n">
        <x:v>0.7568</x:v>
      </x:c>
      <x:c r="H12" t="n">
        <x:v>55</x:v>
      </x:c>
    </x:row>
    <x:row r="13">
      <x:c r="A13" t="str">
        <x:v>Fear</x:v>
      </x:c>
      <x:c r="B13" s="26" t="n">
        <x:v>0.5673</x:v>
      </x:c>
      <x:c r="C13" s="26" t="n">
        <x:v>0.3352</x:v>
      </x:c>
      <x:c r="D13" s="26" t="n">
        <x:v>0.4214</x:v>
      </x:c>
      <x:c r="E13" s="26" t="n">
        <x:v>0.6082</x:v>
      </x:c>
      <x:c r="F13" s="26" t="n">
        <x:v>0.5644</x:v>
      </x:c>
      <x:c r="G13" s="26" t="n">
        <x:v>0.5855</x:v>
      </x:c>
      <x:c r="H13" t="n">
        <x:v>528</x:v>
      </x:c>
    </x:row>
    <x:row r="14">
      <x:c r="A14" t="str">
        <x:v>Happy</x:v>
      </x:c>
      <x:c r="B14" s="26" t="n">
        <x:v>0.8658</x:v>
      </x:c>
      <x:c r="C14" s="26" t="n">
        <x:v>0.8953</x:v>
      </x:c>
      <x:c r="D14" s="26" t="n">
        <x:v>0.8803</x:v>
      </x:c>
      <x:c r="E14" s="26" t="n">
        <x:v>0.9073</x:v>
      </x:c>
      <x:c r="F14" s="26" t="n">
        <x:v>0.9022</x:v>
      </x:c>
      <x:c r="G14" s="26" t="n">
        <x:v>0.9047</x:v>
      </x:c>
      <x:c r="H14" t="n">
        <x:v>879</x:v>
      </x:c>
    </x:row>
    <x:row r="15">
      <x:c r="A15" t="str">
        <x:v>Sad</x:v>
      </x:c>
      <x:c r="B15" s="26" t="n">
        <x:v>0.495</x:v>
      </x:c>
      <x:c r="C15" s="26" t="n">
        <x:v>0.5791</x:v>
      </x:c>
      <x:c r="D15" s="26" t="n">
        <x:v>0.5337</x:v>
      </x:c>
      <x:c r="E15" s="26" t="n">
        <x:v>0.5608</x:v>
      </x:c>
      <x:c r="F15" s="26" t="n">
        <x:v>0.6212</x:v>
      </x:c>
      <x:c r="G15" s="26" t="n">
        <x:v>0.5895</x:v>
      </x:c>
      <x:c r="H15" t="n">
        <x:v>594</x:v>
      </x:c>
    </x:row>
    <x:row r="16">
      <x:c r="A16" t="str">
        <x:v>Surprise</x:v>
      </x:c>
      <x:c r="B16" s="26" t="n">
        <x:v>0.7385</x:v>
      </x:c>
      <x:c r="C16" s="26" t="n">
        <x:v>0.8077</x:v>
      </x:c>
      <x:c r="D16" s="26" t="n">
        <x:v>0.7715</x:v>
      </x:c>
      <x:c r="E16" s="26" t="n">
        <x:v>0.8342</x:v>
      </x:c>
      <x:c r="F16" s="26" t="n">
        <x:v>0.7981</x:v>
      </x:c>
      <x:c r="G16" s="26" t="n">
        <x:v>0.8157</x:v>
      </x:c>
      <x:c r="H16" t="n">
        <x:v>416</x:v>
      </x:c>
    </x:row>
    <x:row r="17">
      <x:c r="A17" t="str">
        <x:v>Neutral</x:v>
      </x:c>
      <x:c r="B17" s="26" t="n">
        <x:v>0.6716</x:v>
      </x:c>
      <x:c r="C17" s="26" t="n">
        <x:v>0.6534</x:v>
      </x:c>
      <x:c r="D17" s="26" t="n">
        <x:v>0.6623</x:v>
      </x:c>
      <x:c r="E17" s="26" t="n">
        <x:v>0.6982</x:v>
      </x:c>
      <x:c r="F17" s="26" t="n">
        <x:v>0.6837</x:v>
      </x:c>
      <x:c r="G17" s="26" t="n">
        <x:v>0.6909</x:v>
      </x:c>
      <x:c r="H17" t="n">
        <x:v>626</x:v>
      </x:c>
    </x:row>
    <x:row r="19">
      <x:c r="A19" s="34" t="str">
        <x:v>Paired comparison: both correct=2,088; both wrong=715; EmoAR correct/ViT wrong=299; EmoAR wrong/ViT correct=487; discordant=786; exact McNemar p=2.0633e-11. Interpretation is limited to FER2013 under this protocol.</x:v>
      </x:c>
      <x:c r="B19" s="34"/>
      <x:c r="C19" s="34"/>
      <x:c r="D19" s="34"/>
      <x:c r="E19" s="34"/>
      <x:c r="F19" s="34"/>
      <x:c r="G19" s="34"/>
      <x:c r="H19" s="34"/>
    </x:row>
    <x:row r="20">
      <x:c r="A20" s="34"/>
      <x:c r="B20" s="34"/>
      <x:c r="C20" s="34"/>
      <x:c r="D20" s="34"/>
      <x:c r="E20" s="34"/>
      <x:c r="F20" s="34"/>
      <x:c r="G20" s="34"/>
      <x:c r="H20" s="34"/>
    </x:row>
    <x:row r="21">
      <x:c r="A21" s="34"/>
      <x:c r="B21" s="34"/>
      <x:c r="C21" s="34"/>
      <x:c r="D21" s="34"/>
      <x:c r="E21" s="34"/>
      <x:c r="F21" s="34"/>
      <x:c r="G21" s="34"/>
      <x:c r="H21" s="34"/>
    </x:row>
  </x:sheetData>
  <x:mergeCells>
    <x:mergeCell ref="A1:H1"/>
    <x:mergeCell ref="A9:H9"/>
    <x:mergeCell ref="A19:H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</x:cols>
  <x:sheetData>
    <x:row r="1">
      <x:c r="A1" s="48" t="str">
        <x:v>Computational Cost and Counterbalanced CPU Latency</x:v>
      </x:c>
      <x:c r="B1" s="48"/>
      <x:c r="C1" s="48"/>
      <x:c r="D1" s="48"/>
      <x:c r="E1" s="48"/>
      <x:c r="F1" s="48"/>
      <x:c r="G1" s="4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3">
      <x:c r="A3" s="13" t="str">
        <x:v>Model</x:v>
      </x:c>
      <x:c r="B3" s="13" t="str">
        <x:v>Parameters</x:v>
      </x:c>
      <x:c r="C3" s="13" t="str">
        <x:v>Tensor footprint (MB)</x:v>
      </x:c>
      <x:c r="D3" s="13" t="str">
        <x:v>Mean latency (ms)</x:v>
      </x:c>
      <x:c r="E3" s="13" t="str">
        <x:v>Median latency (ms)</x:v>
      </x:c>
      <x:c r="F3" s="13" t="str">
        <x:v>Structural ratio</x:v>
      </x:c>
      <x:c r="G3" s="13" t="str">
        <x:v>Note</x:v>
      </x:c>
    </x:row>
    <x:row r="4">
      <x:c r="A4" t="str">
        <x:v>EmoAR</x:v>
      </x:c>
      <x:c r="B4" s="38" t="n">
        <x:v>6961031</x:v>
      </x:c>
      <x:c r="C4" s="28" t="n">
        <x:v>26.87</x:v>
      </x:c>
      <x:c r="D4" s="40" t="n">
        <x:v>70.595</x:v>
      </x:c>
      <x:c r="E4" s="40" t="n">
        <x:v>65.322</x:v>
      </x:c>
      <x:c r="F4" s="42" t="n">
        <x:v>1</x:v>
      </x:c>
      <x:c r="G4" t="str">
        <x:v>DenseNet121 + 7-class head</x:v>
      </x:c>
    </x:row>
    <x:row r="5">
      <x:c r="A5" t="str">
        <x:v>ViT</x:v>
      </x:c>
      <x:c r="B5" s="38" t="n">
        <x:v>85804039</x:v>
      </x:c>
      <x:c r="C5" s="28" t="n">
        <x:f>C4*12.18</x:f>
        <x:v>327.27660000000003</x:v>
      </x:c>
      <x:c r="D5" s="40" t="n">
        <x:v>151.343</x:v>
      </x:c>
      <x:c r="E5" s="40" t="n">
        <x:v>149.374</x:v>
      </x:c>
      <x:c r="F5" s="42" t="n">
        <x:f>B5/B4</x:f>
        <x:v>12.32634059523654</x:v>
      </x:c>
      <x:c r="G5" t="str">
        <x:v>ViT-based facial-expression classifier</x:v>
      </x:c>
    </x:row>
    <x:row r="6">
      <x:c r="A6" t="str">
        <x:v>ViT/EmoAR</x:v>
      </x:c>
      <x:c r="B6"/>
      <x:c r="C6"/>
      <x:c r="D6"/>
      <x:c r="E6"/>
      <x:c r="F6" s="42" t="n">
        <x:f>D5/D4</x:f>
        <x:v>2.143820383879878</x:v>
      </x:c>
      <x:c r="G6" t="str">
        <x:v>Ratios</x:v>
      </x:c>
    </x:row>
    <x:row r="8">
      <x:c r="A8" s="13" t="str">
        <x:v>Run</x:v>
      </x:c>
      <x:c r="B8" s="13" t="str">
        <x:v>Order</x:v>
      </x:c>
      <x:c r="C8" s="13" t="str">
        <x:v>EmoAR ms</x:v>
      </x:c>
      <x:c r="D8" s="13" t="str">
        <x:v>ViT ms</x:v>
      </x:c>
    </x:row>
    <x:row r="9">
      <x:c r="A9" t="n">
        <x:v>1</x:v>
      </x:c>
      <x:c r="B9" t="str">
        <x:v>emoar-first</x:v>
      </x:c>
      <x:c r="C9" s="40" t="n">
        <x:v>76.012</x:v>
      </x:c>
      <x:c r="D9" s="40" t="n">
        <x:v>162.136</x:v>
      </x:c>
    </x:row>
    <x:row r="10">
      <x:c r="A10" t="n">
        <x:v>2</x:v>
      </x:c>
      <x:c r="B10" t="str">
        <x:v>vit-first</x:v>
      </x:c>
      <x:c r="C10" s="40" t="n">
        <x:v>91.838</x:v>
      </x:c>
      <x:c r="D10" s="40" t="n">
        <x:v>162.386</x:v>
      </x:c>
    </x:row>
    <x:row r="11">
      <x:c r="A11" t="n">
        <x:v>3</x:v>
      </x:c>
      <x:c r="B11" t="str">
        <x:v>vit-first</x:v>
      </x:c>
      <x:c r="C11" s="40" t="n">
        <x:v>66.216</x:v>
      </x:c>
      <x:c r="D11" s="40" t="n">
        <x:v>155.006</x:v>
      </x:c>
    </x:row>
    <x:row r="12">
      <x:c r="A12" t="n">
        <x:v>4</x:v>
      </x:c>
      <x:c r="B12" t="str">
        <x:v>emoar-first</x:v>
      </x:c>
      <x:c r="C12" s="40" t="n">
        <x:v>64.428</x:v>
      </x:c>
      <x:c r="D12" s="40" t="n">
        <x:v>143.741</x:v>
      </x:c>
    </x:row>
    <x:row r="13">
      <x:c r="A13" t="n">
        <x:v>5</x:v>
      </x:c>
      <x:c r="B13" t="str">
        <x:v>emoar-first</x:v>
      </x:c>
      <x:c r="C13" s="40" t="n">
        <x:v>63.053</x:v>
      </x:c>
      <x:c r="D13" s="40" t="n">
        <x:v>141.836</x:v>
      </x:c>
    </x:row>
    <x:row r="14">
      <x:c r="A14" t="n">
        <x:v>6</x:v>
      </x:c>
      <x:c r="B14" t="str">
        <x:v>vit-first</x:v>
      </x:c>
      <x:c r="C14" s="40" t="n">
        <x:v>62.025</x:v>
      </x:c>
      <x:c r="D14" s="40" t="n">
        <x:v>142.954</x:v>
      </x:c>
    </x:row>
    <x:row r="15">
      <x:c r="A15" t="str">
        <x:v>Mean</x:v>
      </x:c>
      <x:c r="B15" t="str"/>
      <x:c r="C15" s="40" t="n">
        <x:v>70.595</x:v>
      </x:c>
      <x:c r="D15" s="40" t="n">
        <x:v>151.343</x:v>
      </x:c>
    </x:row>
    <x:row r="17">
      <x:c r="A17" s="34" t="str">
        <x:v>Scope: CPU preprocessing + classifier inference only. Camera capture, face detection, tracking, rendering, networking, and complete AR frame rate are excluded. n=3 runs per order is too small for a formal claim of no order effect.</x:v>
      </x:c>
      <x:c r="B17" s="34"/>
      <x:c r="C17" s="34"/>
      <x:c r="D17" s="34"/>
      <x:c r="E17" s="34"/>
      <x:c r="F17" s="34"/>
      <x:c r="G17" s="34"/>
    </x:row>
    <x:row r="18">
      <x:c r="A18" s="34"/>
      <x:c r="B18" s="34"/>
      <x:c r="C18" s="34"/>
      <x:c r="D18" s="34"/>
      <x:c r="E18" s="34"/>
      <x:c r="F18" s="34"/>
      <x:c r="G18" s="34"/>
    </x:row>
    <x:row r="19">
      <x:c r="A19" s="34"/>
      <x:c r="B19" s="34"/>
      <x:c r="C19" s="34"/>
      <x:c r="D19" s="34"/>
      <x:c r="E19" s="34"/>
      <x:c r="F19" s="34"/>
      <x:c r="G19" s="34"/>
    </x:row>
  </x:sheetData>
  <x:mergeCells>
    <x:mergeCell ref="A1:G1"/>
    <x:mergeCell ref="A17:G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8" t="str">
        <x:v>Predictive Confidence and Calibration — FER2013 privateTest</x:v>
      </x:c>
      <x:c r="B1" s="48"/>
      <x:c r="C1" s="48"/>
      <x:c r="D1" s="48"/>
      <x:c r="E1" s="48"/>
      <x:c r="F1" s="48"/>
      <x:c r="G1" s="48"/>
      <x:c r="H1" s="4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3">
      <x:c r="A3" s="13" t="str">
        <x:v>Metric</x:v>
      </x:c>
      <x:c r="B3" s="13" t="str">
        <x:v>EmoAR</x:v>
      </x:c>
      <x:c r="C3" s="13" t="str">
        <x:v>ViT</x:v>
      </x:c>
      <x:c r="D3" s="13" t="str">
        <x:v>Δ ViT-EmoAR</x:v>
      </x:c>
      <x:c r="E3" s="13" t="str">
        <x:v>EmoAR correct</x:v>
      </x:c>
      <x:c r="F3" s="13" t="str">
        <x:v>EmoAR wrong</x:v>
      </x:c>
      <x:c r="G3" s="13" t="str">
        <x:v>ViT correct</x:v>
      </x:c>
      <x:c r="H3" s="13" t="str">
        <x:v>ViT wrong</x:v>
      </x:c>
    </x:row>
    <x:row r="4">
      <x:c r="A4" t="str">
        <x:v>Accuracy</x:v>
      </x:c>
      <x:c r="B4" s="26" t="n">
        <x:v>0.665088</x:v>
      </x:c>
      <x:c r="C4" s="26" t="n">
        <x:v>0.71747</x:v>
      </x:c>
      <x:c r="D4" s="26" t="n">
        <x:f>C4-B4</x:f>
        <x:v>0.05238200000000004</x:v>
      </x:c>
      <x:c r="E4" t="n">
        <x:v>2387</x:v>
      </x:c>
      <x:c r="F4" t="n">
        <x:v>1202</x:v>
      </x:c>
      <x:c r="G4" t="n">
        <x:v>2575</x:v>
      </x:c>
      <x:c r="H4" t="n">
        <x:v>1014</x:v>
      </x:c>
    </x:row>
    <x:row r="5">
      <x:c r="A5" t="str">
        <x:v>Mean confidence</x:v>
      </x:c>
      <x:c r="B5" s="26" t="n">
        <x:v>0.748708</x:v>
      </x:c>
      <x:c r="C5" s="26" t="n">
        <x:v>0.901042</x:v>
      </x:c>
      <x:c r="D5" s="26" t="n">
        <x:f>C5-B5</x:f>
        <x:v>0.15233399999999997</x:v>
      </x:c>
      <x:c r="E5"/>
      <x:c r="F5"/>
      <x:c r="G5"/>
      <x:c r="H5"/>
    </x:row>
    <x:row r="6">
      <x:c r="A6" t="str">
        <x:v>Signed confidence gap</x:v>
      </x:c>
      <x:c r="B6" s="26" t="n">
        <x:v>0.083621</x:v>
      </x:c>
      <x:c r="C6" s="26" t="n">
        <x:v>0.183572</x:v>
      </x:c>
      <x:c r="D6" s="26" t="n">
        <x:f>C6-B6</x:f>
        <x:v>0.09995100000000001</x:v>
      </x:c>
      <x:c r="E6"/>
      <x:c r="F6"/>
      <x:c r="G6"/>
      <x:c r="H6"/>
    </x:row>
    <x:row r="7">
      <x:c r="A7" t="str">
        <x:v>ECE (15 bins)</x:v>
      </x:c>
      <x:c r="B7" s="26" t="n">
        <x:v>0.083886</x:v>
      </x:c>
      <x:c r="C7" s="26" t="n">
        <x:v>0.183572</x:v>
      </x:c>
      <x:c r="D7" s="26" t="n">
        <x:f>C7-B7</x:f>
        <x:v>0.09968600000000001</x:v>
      </x:c>
      <x:c r="E7"/>
      <x:c r="F7"/>
      <x:c r="G7"/>
      <x:c r="H7"/>
    </x:row>
    <x:row r="8">
      <x:c r="A8" t="str">
        <x:v>MCE</x:v>
      </x:c>
      <x:c r="B8" s="26" t="n">
        <x:v>0.147681</x:v>
      </x:c>
      <x:c r="C8" s="26" t="n">
        <x:v>0.375048</x:v>
      </x:c>
      <x:c r="D8" s="26" t="n">
        <x:f>C8-B8</x:f>
        <x:v>0.22736699999999999</x:v>
      </x:c>
      <x:c r="E8"/>
      <x:c r="F8"/>
      <x:c r="G8"/>
      <x:c r="H8"/>
    </x:row>
    <x:row r="10">
      <x:c r="A10" s="13" t="str">
        <x:v>Threshold</x:v>
      </x:c>
      <x:c r="B10" s="13" t="str">
        <x:v>EmoAR high-conf errors</x:v>
      </x:c>
      <x:c r="C10" s="13" t="str">
        <x:v>EmoAR % of errors</x:v>
      </x:c>
      <x:c r="D10" s="13" t="str">
        <x:v>ViT high-conf errors</x:v>
      </x:c>
      <x:c r="E10" s="13" t="str">
        <x:v>ViT % of errors</x:v>
      </x:c>
    </x:row>
    <x:row r="11">
      <x:c r="A11" s="44" t="n">
        <x:v>0.8</x:v>
      </x:c>
      <x:c r="B11" t="n">
        <x:v>211</x:v>
      </x:c>
      <x:c r="C11" s="46" t="n">
        <x:v>0.17554076539101499</x:v>
      </x:c>
      <x:c r="D11" t="n">
        <x:v>619</x:v>
      </x:c>
      <x:c r="E11" s="46" t="n">
        <x:v>0.6104536489151874</x:v>
      </x:c>
    </x:row>
    <x:row r="12">
      <x:c r="A12" s="44" t="n">
        <x:v>0.9</x:v>
      </x:c>
      <x:c r="B12" t="n">
        <x:v>97</x:v>
      </x:c>
      <x:c r="C12" s="46" t="n">
        <x:v>0.08069883527454243</x:v>
      </x:c>
      <x:c r="D12" t="n">
        <x:v>463</x:v>
      </x:c>
      <x:c r="E12" s="46" t="n">
        <x:v>0.45660749506903353</x:v>
      </x:c>
    </x:row>
    <x:row r="13">
      <x:c r="A13" s="44" t="n">
        <x:v>0.95</x:v>
      </x:c>
      <x:c r="B13" t="n">
        <x:v>49</x:v>
      </x:c>
      <x:c r="C13" s="46" t="n">
        <x:v>0.04076539101497504</x:v>
      </x:c>
      <x:c r="D13" t="n">
        <x:v>323</x:v>
      </x:c>
      <x:c r="E13" s="46" t="n">
        <x:v>0.3185404339250493</x:v>
      </x:c>
    </x:row>
    <x:row r="14">
      <x:c r="A14" s="44" t="n">
        <x:v>0.99</x:v>
      </x:c>
      <x:c r="B14" t="n">
        <x:v>15</x:v>
      </x:c>
      <x:c r="C14" s="46" t="n">
        <x:v>0.012479201331114808</x:v>
      </x:c>
      <x:c r="D14" t="n">
        <x:v>32</x:v>
      </x:c>
      <x:c r="E14" s="46" t="n">
        <x:v>0.03155818540433925</x:v>
      </x:c>
    </x:row>
    <x:row r="16">
      <x:c r="A16" s="13" t="str">
        <x:v>Threshold</x:v>
      </x:c>
      <x:c r="B16" s="13" t="str">
        <x:v>EmoAR coverage</x:v>
      </x:c>
      <x:c r="C16" s="13" t="str">
        <x:v>EmoAR accuracy</x:v>
      </x:c>
      <x:c r="D16" s="13" t="str">
        <x:v>ViT coverage</x:v>
      </x:c>
      <x:c r="E16" s="13" t="str">
        <x:v>ViT accuracy</x:v>
      </x:c>
    </x:row>
    <x:row r="17">
      <x:c r="A17" s="44" t="n">
        <x:v>0.9</x:v>
      </x:c>
      <x:c r="B17" s="46" t="n">
        <x:v>0.358874</x:v>
      </x:c>
      <x:c r="C17" s="46" t="n">
        <x:v>0.924689</x:v>
      </x:c>
      <x:c r="D17" s="46" t="n">
        <x:v>0.732516</x:v>
      </x:c>
      <x:c r="E17" s="46" t="n">
        <x:v>0.823887</x:v>
      </x:c>
    </x:row>
    <x:row r="18">
      <x:c r="A18" s="44" t="n">
        <x:v>0.95</x:v>
      </x:c>
      <x:c r="B18" s="46" t="n">
        <x:v>0.273335</x:v>
      </x:c>
      <x:c r="C18" s="46" t="n">
        <x:v>0.950051</x:v>
      </x:c>
      <x:c r="D18" s="46" t="n">
        <x:v>0.637225</x:v>
      </x:c>
      <x:c r="E18" s="46" t="n">
        <x:v>0.858767</x:v>
      </x:c>
    </x:row>
    <x:row r="19">
      <x:c r="A19" s="44" t="n">
        <x:v>0.99</x:v>
      </x:c>
      <x:c r="B19" s="46" t="n">
        <x:v>0.138757</x:v>
      </x:c>
      <x:c r="C19" s="46" t="n">
        <x:v>0.96988</x:v>
      </x:c>
      <x:c r="D19" s="46" t="n">
        <x:v>0.251602</x:v>
      </x:c>
      <x:c r="E19" s="46" t="n">
        <x:v>0.964563</x:v>
      </x:c>
    </x:row>
    <x:row r="20">
      <x:c r="A20" t="str">
        <x:v>Note</x:v>
      </x:c>
      <x:c r="B20"/>
      <x:c r="C20"/>
      <x:c r="D20"/>
      <x:c r="E20"/>
    </x:row>
    <x:row r="22">
      <x:c r="A22" s="34" t="str">
        <x:v>Interpretation: ViT is more accurate but its maximum softmax probability is more overconfident / less calibrated on this FER2013 split. Predictive confidence is not epistemic uncertainty, clinical confidence, or probability of psychological truth.</x:v>
      </x:c>
      <x:c r="B22" s="34"/>
      <x:c r="C22" s="34"/>
      <x:c r="D22" s="34"/>
      <x:c r="E22" s="34"/>
      <x:c r="F22" s="34"/>
      <x:c r="G22" s="34"/>
      <x:c r="H22" s="34"/>
    </x:row>
    <x:row r="23">
      <x:c r="A23" s="34"/>
      <x:c r="B23" s="34"/>
      <x:c r="C23" s="34"/>
      <x:c r="D23" s="34"/>
      <x:c r="E23" s="34"/>
      <x:c r="F23" s="34"/>
      <x:c r="G23" s="34"/>
      <x:c r="H23" s="34"/>
    </x:row>
    <x:row r="24">
      <x:c r="A24" s="34"/>
      <x:c r="B24" s="34"/>
      <x:c r="C24" s="34"/>
      <x:c r="D24" s="34"/>
      <x:c r="E24" s="34"/>
      <x:c r="F24" s="34"/>
      <x:c r="G24" s="34"/>
      <x:c r="H24" s="34"/>
    </x:row>
  </x:sheetData>
  <x:mergeCells>
    <x:mergeCell ref="A1:H1"/>
    <x:mergeCell ref="A22:H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</x:cols>
  <x:sheetData>
    <x:row r="1">
      <x:c r="A1" s="48" t="str">
        <x:v>Controlled Perturbation Robustness — Balanced FER2013 Subset</x:v>
      </x:c>
      <x:c r="B1" s="48"/>
      <x:c r="C1" s="48"/>
      <x:c r="D1" s="48"/>
      <x:c r="E1" s="48"/>
      <x:c r="F1" s="48"/>
      <x:c r="G1" s="4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3">
      <x:c r="A3" s="13" t="str">
        <x:v>Metric</x:v>
      </x:c>
      <x:c r="B3" s="13" t="str">
        <x:v>EmoAR</x:v>
      </x:c>
      <x:c r="C3" s="13" t="str">
        <x:v>ViT</x:v>
      </x:c>
      <x:c r="D3" s="13" t="str">
        <x:v>Δ ViT-EmoAR</x:v>
      </x:c>
      <x:c r="E3" s="13" t="str">
        <x:v>n</x:v>
      </x:c>
      <x:c r="F3" s="13" t="str">
        <x:v>Unit</x:v>
      </x:c>
      <x:c r="G3" s="13" t="str">
        <x:v>Note</x:v>
      </x:c>
    </x:row>
    <x:row r="4">
      <x:c r="A4" t="str">
        <x:v>Original accuracy</x:v>
      </x:c>
      <x:c r="B4" s="26" t="n">
        <x:v>0.631429</x:v>
      </x:c>
      <x:c r="C4" s="26" t="n">
        <x:v>0.72</x:v>
      </x:c>
      <x:c r="D4" s="26" t="n">
        <x:f>C4-B4</x:f>
        <x:v>0.08857099999999996</x:v>
      </x:c>
      <x:c r="E4" t="n">
        <x:v>350</x:v>
      </x:c>
      <x:c r="F4" t="str">
        <x:v>images</x:v>
      </x:c>
      <x:c r="G4" t="str">
        <x:v>50 per class</x:v>
      </x:c>
    </x:row>
    <x:row r="5">
      <x:c r="A5" t="str">
        <x:v>Perturbed accuracy</x:v>
      </x:c>
      <x:c r="B5" s="26" t="n">
        <x:v>0.625714</x:v>
      </x:c>
      <x:c r="C5" s="26" t="n">
        <x:v>0.686786</x:v>
      </x:c>
      <x:c r="D5" s="26" t="n">
        <x:f>C5-B5</x:f>
        <x:v>0.061072000000000015</x:v>
      </x:c>
      <x:c r="E5" t="n">
        <x:v>2800</x:v>
      </x:c>
      <x:c r="F5" t="str">
        <x:v>perturbed images</x:v>
      </x:c>
      <x:c r="G5" t="str">
        <x:v>8 perturbations x 350</x:v>
      </x:c>
    </x:row>
    <x:row r="6">
      <x:c r="A6" t="str">
        <x:v>Pairwise label stability</x:v>
      </x:c>
      <x:c r="B6" s="26" t="n">
        <x:v>0.908929</x:v>
      </x:c>
      <x:c r="C6" s="26" t="n">
        <x:v>0.876429</x:v>
      </x:c>
      <x:c r="D6" s="26" t="n">
        <x:f>C6-B6</x:f>
        <x:v>-0.03249999999999997</x:v>
      </x:c>
      <x:c r="E6" t="n">
        <x:v>2800</x:v>
      </x:c>
      <x:c r="F6" t="str">
        <x:v>pairs/model</x:v>
      </x:c>
      <x:c r="G6" t="str">
        <x:v>original vs perturbed</x:v>
      </x:c>
    </x:row>
    <x:row r="7">
      <x:c r="A7" t="str">
        <x:v>Fully stable fraction</x:v>
      </x:c>
      <x:c r="B7" s="26" t="n">
        <x:v>0.6886</x:v>
      </x:c>
      <x:c r="C7" s="26" t="n">
        <x:v>0.5543</x:v>
      </x:c>
      <x:c r="D7" s="26" t="n">
        <x:f>C7-B7</x:f>
        <x:v>-0.13429999999999997</x:v>
      </x:c>
      <x:c r="E7" t="n">
        <x:v>350</x:v>
      </x:c>
      <x:c r="F7" t="str">
        <x:v>images</x:v>
      </x:c>
      <x:c r="G7" t="str">
        <x:v>no label flip across 8 perturbations</x:v>
      </x:c>
    </x:row>
    <x:row r="8">
      <x:c r="A8" t="str">
        <x:v>At least one label flip</x:v>
      </x:c>
      <x:c r="B8" s="26" t="n">
        <x:v>0.3114</x:v>
      </x:c>
      <x:c r="C8" s="26" t="n">
        <x:v>0.4457</x:v>
      </x:c>
      <x:c r="D8" s="26" t="n">
        <x:f>C8-B8</x:f>
        <x:v>0.13429999999999997</x:v>
      </x:c>
      <x:c r="E8" t="n">
        <x:v>350</x:v>
      </x:c>
      <x:c r="F8" t="str">
        <x:v>images</x:v>
      </x:c>
      <x:c r="G8" t="str">
        <x:v>complement of fully stable</x:v>
      </x:c>
    </x:row>
    <x:row r="10">
      <x:c r="A10" s="13" t="str">
        <x:v>Condition</x:v>
      </x:c>
      <x:c r="B10" s="13" t="str">
        <x:v>EmoAR accuracy</x:v>
      </x:c>
      <x:c r="C10" s="13" t="str">
        <x:v>EmoAR stability</x:v>
      </x:c>
      <x:c r="D10" s="13" t="str">
        <x:v>ViT accuracy</x:v>
      </x:c>
      <x:c r="E10" s="13" t="str">
        <x:v>ViT stability</x:v>
      </x:c>
      <x:c r="F10" s="13" t="str">
        <x:v>Type</x:v>
      </x:c>
    </x:row>
    <x:row r="11">
      <x:c r="A11" t="str">
        <x:v>rotation -5°</x:v>
      </x:c>
      <x:c r="B11" s="26" t="n">
        <x:v>0.588571</x:v>
      </x:c>
      <x:c r="C11" s="26" t="n">
        <x:v>0.828571</x:v>
      </x:c>
      <x:c r="D11" s="26" t="n">
        <x:v>0.605714</x:v>
      </x:c>
      <x:c r="E11" s="26" t="n">
        <x:v>0.742857</x:v>
      </x:c>
      <x:c r="F11" t="str">
        <x:v>geometric</x:v>
      </x:c>
    </x:row>
    <x:row r="12">
      <x:c r="A12" t="str">
        <x:v>rotation +5°</x:v>
      </x:c>
      <x:c r="B12" s="26" t="n">
        <x:v>0.582857</x:v>
      </x:c>
      <x:c r="C12" s="26" t="n">
        <x:v>0.811429</x:v>
      </x:c>
      <x:c r="D12" s="26" t="n">
        <x:v>0.594286</x:v>
      </x:c>
      <x:c r="E12" s="26" t="n">
        <x:v>0.731429</x:v>
      </x:c>
      <x:c r="F12" t="str">
        <x:v>geometric</x:v>
      </x:c>
    </x:row>
    <x:row r="13">
      <x:c r="A13" t="str">
        <x:v>translation -2px</x:v>
      </x:c>
      <x:c r="B13" s="26" t="n">
        <x:v>0.634286</x:v>
      </x:c>
      <x:c r="C13" s="26" t="n">
        <x:v>0.922857</x:v>
      </x:c>
      <x:c r="D13" s="26" t="n">
        <x:v>0.708571</x:v>
      </x:c>
      <x:c r="E13" s="26" t="n">
        <x:v>0.845714</x:v>
      </x:c>
      <x:c r="F13" t="str">
        <x:v>geometric</x:v>
      </x:c>
    </x:row>
    <x:row r="14">
      <x:c r="A14" t="str">
        <x:v>translation +2px</x:v>
      </x:c>
      <x:c r="B14" s="26" t="n">
        <x:v>0.642857</x:v>
      </x:c>
      <x:c r="C14" s="26" t="n">
        <x:v>0.925714</x:v>
      </x:c>
      <x:c r="D14" s="26" t="n">
        <x:v>0.697143</x:v>
      </x:c>
      <x:c r="E14" s="26" t="n">
        <x:v>0.817143</x:v>
      </x:c>
      <x:c r="F14" t="str">
        <x:v>geometric</x:v>
      </x:c>
    </x:row>
    <x:row r="15">
      <x:c r="A15" t="str">
        <x:v>brightness 0.90</x:v>
      </x:c>
      <x:c r="B15" s="26" t="n">
        <x:v>0.634286</x:v>
      </x:c>
      <x:c r="C15" s="26" t="n">
        <x:v>0.94</x:v>
      </x:c>
      <x:c r="D15" s="26" t="n">
        <x:v>0.728571</x:v>
      </x:c>
      <x:c r="E15" s="26" t="n">
        <x:v>0.96</x:v>
      </x:c>
      <x:c r="F15" t="str">
        <x:v>photometric</x:v>
      </x:c>
    </x:row>
    <x:row r="16">
      <x:c r="A16" t="str">
        <x:v>brightness 1.10</x:v>
      </x:c>
      <x:c r="B16" s="26" t="n">
        <x:v>0.634286</x:v>
      </x:c>
      <x:c r="C16" s="26" t="n">
        <x:v>0.942857</x:v>
      </x:c>
      <x:c r="D16" s="26" t="n">
        <x:v>0.711429</x:v>
      </x:c>
      <x:c r="E16" s="26" t="n">
        <x:v>0.948571</x:v>
      </x:c>
      <x:c r="F16" t="str">
        <x:v>photometric</x:v>
      </x:c>
    </x:row>
    <x:row r="17">
      <x:c r="A17" t="str">
        <x:v>contrast 0.90</x:v>
      </x:c>
      <x:c r="B17" s="26" t="n">
        <x:v>0.648571</x:v>
      </x:c>
      <x:c r="C17" s="26" t="n">
        <x:v>0.945714</x:v>
      </x:c>
      <x:c r="D17" s="26" t="n">
        <x:v>0.722857</x:v>
      </x:c>
      <x:c r="E17" s="26" t="n">
        <x:v>0.982857</x:v>
      </x:c>
      <x:c r="F17" t="str">
        <x:v>photometric</x:v>
      </x:c>
    </x:row>
    <x:row r="18">
      <x:c r="A18" t="str">
        <x:v>contrast 1.10</x:v>
      </x:c>
      <x:c r="B18" s="26" t="n">
        <x:v>0.64</x:v>
      </x:c>
      <x:c r="C18" s="26" t="n">
        <x:v>0.954286</x:v>
      </x:c>
      <x:c r="D18" s="26" t="n">
        <x:v>0.725714</x:v>
      </x:c>
      <x:c r="E18" s="26" t="n">
        <x:v>0.982857</x:v>
      </x:c>
      <x:c r="F18" t="str">
        <x:v>photometric</x:v>
      </x:c>
    </x:row>
    <x:row r="20">
      <x:c r="A20" s="34" t="str">
        <x:v>This is a controlled static-image robustness proxy, not temporal stability in live video. Geometric transforms use fill=0 borders, which can contribute to distribution shift.</x:v>
      </x:c>
      <x:c r="B20" s="34"/>
      <x:c r="C20" s="34"/>
      <x:c r="D20" s="34"/>
      <x:c r="E20" s="34"/>
      <x:c r="F20" s="34"/>
      <x:c r="G20" s="34"/>
    </x:row>
    <x:row r="21">
      <x:c r="A21" s="34"/>
      <x:c r="B21" s="34"/>
      <x:c r="C21" s="34"/>
      <x:c r="D21" s="34"/>
      <x:c r="E21" s="34"/>
      <x:c r="F21" s="34"/>
      <x:c r="G21" s="34"/>
    </x:row>
    <x:row r="22">
      <x:c r="A22" s="34"/>
      <x:c r="B22" s="34"/>
      <x:c r="C22" s="34"/>
      <x:c r="D22" s="34"/>
      <x:c r="E22" s="34"/>
      <x:c r="F22" s="34"/>
      <x:c r="G22" s="34"/>
    </x:row>
  </x:sheetData>
  <x:mergeCells>
    <x:mergeCell ref="A1:G1"/>
    <x:mergeCell ref="A20:G22"/>
  </x:mergeCells>
  <x:pageMargins left="0.7" right="0.7" top="0.75" bottom="0.75" header="0.3" footer="0.3"/>
</x:worksheet>
</file>